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lly Summary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<sst xmlns="http://schemas.openxmlformats.org/spreadsheetml/2006/main" count="49" uniqueCount="49">
  <si>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AAP LABORATORY SAFETY SURVEY – TALLY SCORE</t>
  </si>
  <si>
    <t>Section</t>
  </si>
  <si>
    <t>Item</t>
  </si>
  <si>
    <t>4 – Strongly Agree</t>
  </si>
  <si>
    <t>3 – Agree</t>
  </si>
  <si>
    <t>2 – Disagree</t>
  </si>
  <si>
    <t>1 – Strongly Disagree</t>
  </si>
  <si>
    <t>Total Respondents</t>
  </si>
  <si>
    <t>Weighted Score</t>
  </si>
  <si>
    <t>Mean</t>
  </si>
  <si>
    <t>Interpretation</t>
  </si>
  <si>
    <t>A. Laboratory Safety Policies and Communication</t>
  </si>
  <si>
    <t>1. The laboratory safety policies are clearly communicated before laboratory activities.</t>
  </si>
  <si>
    <t>2. Laboratory rules and safety signs are clearly posted in appropriate areas.</t>
  </si>
  <si>
    <t>3. Laboratory policies and standard operating procedures (SOPs) are readily available to laboratory users.</t>
  </si>
  <si>
    <t>4. Laboratory instructors explain relevant safety policies before students perform laboratory activities.</t>
  </si>
  <si>
    <t>5. Laboratory instructors consistently enforce established laboratory policies during laboratory activities.</t>
  </si>
  <si>
    <t>B. Personal Protective Equipment and Safe Equipment Use</t>
  </si>
  <si>
    <t>1. I wear the required personal protective equipment (PPE) during laboratory activities.</t>
  </si>
  <si>
    <t>2. The required PPE is available and accessible at the tool shop when laboratory activities require its use.</t>
  </si>
  <si>
    <t>3. Laboratory equipment is used according to established safety procedures and instructions.</t>
  </si>
  <si>
    <t>4. I receive sufficient guidance before operating unfamiliar or specialized laboratory equipment.</t>
  </si>
  <si>
    <t>5. Laboratory equipment is inspected or checked for safe operating condition before use.</t>
  </si>
  <si>
    <t>C. Emergency Preparedness</t>
  </si>
  <si>
    <t>1. Emergency equipment and safety devices are accessible when needed.</t>
  </si>
  <si>
    <t>2. I know the proper emergency procedures to follow during laboratory activities.</t>
  </si>
  <si>
    <t>3. Emergency exits and evacuation routes are clearly identified and accessible.</t>
  </si>
  <si>
    <t>4. Laboratory users receive adequate information or orientation regarding emergency response procedures.</t>
  </si>
  <si>
    <t>5. Emergency procedures are reinforced through reminders, drills, or other appropriate safety activities.</t>
  </si>
  <si>
    <t>D. Hazard Identification and Incident Reporting</t>
  </si>
  <si>
    <t>1. I can identify potential hazards inside the laboratory.</t>
  </si>
  <si>
    <t>2. I understand the safety risks associated with the equipment and activities performed in the laboratory.</t>
  </si>
  <si>
    <t>3. I report unsafe conditions, incidents, or near-miss events to the proper authority.</t>
  </si>
  <si>
    <t>4. Unsafe conditions are identified and addressed before they result in accidents or injuries.</t>
  </si>
  <si>
    <t>5. Laboratory users are encouraged to report hazards and safety concerns without hesitation.</t>
  </si>
  <si>
    <t>E. Overall Effectiveness of Laboratory Safety Policies and Practices</t>
  </si>
  <si>
    <t>1. Overall, the laboratory safety policies at AAP effectively protect students, instructors, and facility staff from harm.</t>
  </si>
  <si>
    <t>2. The combined safety measures in place (policies, PPE, emergency preparedness, and hazard reporting) work well together to prevent accidents.</t>
  </si>
  <si>
    <t>3. I am satisfied with how laboratory safety is managed and enforced at AAP.</t>
  </si>
  <si>
    <t>4. The laboratory's safety culture encourages users to act responsibly even without direct supervision.</t>
  </si>
  <si>
    <t>5. I would recommend AAP's current laboratory safety policies and practices as effective for future students.</t>
  </si>
  <si>
    <t>HOW TO USE THE TALLY FILE</t>
  </si>
  <si>
    <t>1. Do NOT enter data for Part I (Age, Sex, Role, Program/Department); it is optional and excluded.</t>
  </si>
  <si>
    <t>2. In Tally Summary, enter the number of respondents selecting each response for every item.</t>
  </si>
  <si>
    <t>3. Enter counts under: 4 – Strongly Agree, 3 – Agree, 2 – Disagree, and 1 – Strongly Disagree.</t>
  </si>
  <si>
    <t>4. Total Respondents, Weighted Score, Mean, and Interpretation are computed automatically.</t>
  </si>
  <si>
    <t>5. The Section Summary computes the respondent total and mean for each of the five sections.</t>
  </si>
  <si>
    <t>6. The questionnaire contains 5 items per section, for 25 required rating items in total.</t>
  </si>
  <si>
    <t>7. Interpretation used: 3.26–4.00 Strongly Agree; 2.51–3.25 Agree; 1.76–2.50 Disagree; 1.00–1.75 Strongly Disagree.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</si>
</sst>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1" fontId="0" fillId="0" borderId="1" xfId="0" applyNumberFormat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pane xSplit="2" ySplit="4" topLeftCell="F5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4.4"/>
  <cols>
    <col min="1" max="1" width="38" customWidth="1"/>
    <col min="2" max="2" width="75" customWidth="1"/>
    <col min="3" max="3" width="18" customWidth="1"/>
    <col min="4" max="5" width="14" customWidth="1"/>
    <col min="6" max="6" width="22" customWidth="1"/>
    <col min="7" max="7" width="18" customWidth="1"/>
    <col min="8" max="8" width="16" customWidth="1"/>
    <col min="9" max="9" width="12" customWidth="1"/>
    <col min="10" max="10" width="20" customWidth="1"/>
  </cols>
  <sheetData>
    <row r="1" ht="24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42" customHeight="1" spans="1:10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ht="28.8" spans="1:10">
      <c r="A5" s="5" t="s">
        <v>11</v>
      </c>
      <c r="B5" s="2" t="s">
        <v>12</v>
      </c>
      <c r="C5" s="6">
        <v>24</v>
      </c>
      <c r="D5" s="6">
        <v>53</v>
      </c>
      <c r="E5" s="6">
        <v>8</v>
      </c>
      <c r="F5" s="6">
        <v>2</v>
      </c>
      <c r="G5" s="2">
        <f t="shared" ref="G5:G29" si="0">SUM(C5:F5)</f>
        <v>87</v>
      </c>
      <c r="H5" s="2">
        <f t="shared" ref="H5:H29" si="1">C5*4+D5*3+E5*2+F5</f>
        <v>273</v>
      </c>
      <c r="I5" s="2">
        <f t="shared" ref="I5:I29" si="2">IF(G5=0,"",H5/G5)</f>
        <v>3.13793103448276</v>
      </c>
      <c r="J5" s="2" t="str">
        <f t="shared" ref="J5:J29" si="3">IF(I5="","",IF(I5&gt;=3.26,"Strongly Agree",IF(I5&gt;=2.51,"Agree",IF(I5&gt;=1.76,"Disagree","Strongly Disagree"))))</f>
        <v>Agree</v>
      </c>
    </row>
    <row r="6" ht="28.8" spans="1:10">
      <c r="A6" s="7"/>
      <c r="B6" s="2" t="s">
        <v>13</v>
      </c>
      <c r="C6" s="6">
        <v>25</v>
      </c>
      <c r="D6" s="6">
        <v>52</v>
      </c>
      <c r="E6" s="6">
        <v>8</v>
      </c>
      <c r="F6" s="6">
        <v>2</v>
      </c>
      <c r="G6" s="2">
        <f t="shared" si="0"/>
        <v>87</v>
      </c>
      <c r="H6" s="2">
        <f t="shared" si="1"/>
        <v>274</v>
      </c>
      <c r="I6" s="2">
        <f t="shared" si="2"/>
        <v>3.14942528735632</v>
      </c>
      <c r="J6" s="2" t="str">
        <f t="shared" si="3"/>
        <v>Agree</v>
      </c>
    </row>
    <row r="7" ht="28.8" spans="1:10">
      <c r="A7" s="7"/>
      <c r="B7" s="2" t="s">
        <v>14</v>
      </c>
      <c r="C7" s="6">
        <v>22</v>
      </c>
      <c r="D7" s="6">
        <v>48</v>
      </c>
      <c r="E7" s="6">
        <v>13</v>
      </c>
      <c r="F7" s="6">
        <v>3</v>
      </c>
      <c r="G7" s="2">
        <f t="shared" si="0"/>
        <v>86</v>
      </c>
      <c r="H7" s="2">
        <f t="shared" si="1"/>
        <v>261</v>
      </c>
      <c r="I7" s="2">
        <f t="shared" si="2"/>
        <v>3.03488372093023</v>
      </c>
      <c r="J7" s="2" t="str">
        <f t="shared" si="3"/>
        <v>Agree</v>
      </c>
    </row>
    <row r="8" ht="28.8" spans="1:10">
      <c r="A8" s="7"/>
      <c r="B8" s="2" t="s">
        <v>15</v>
      </c>
      <c r="C8" s="6">
        <v>35</v>
      </c>
      <c r="D8" s="6">
        <v>47</v>
      </c>
      <c r="E8" s="6">
        <v>3</v>
      </c>
      <c r="F8" s="6">
        <v>2</v>
      </c>
      <c r="G8" s="2">
        <f t="shared" si="0"/>
        <v>87</v>
      </c>
      <c r="H8" s="2">
        <f t="shared" si="1"/>
        <v>289</v>
      </c>
      <c r="I8" s="2">
        <f t="shared" si="2"/>
        <v>3.32183908045977</v>
      </c>
      <c r="J8" s="2" t="str">
        <f t="shared" si="3"/>
        <v>Strongly Agree</v>
      </c>
    </row>
    <row r="9" ht="28.8" spans="1:10">
      <c r="A9" s="8"/>
      <c r="B9" s="2" t="s">
        <v>16</v>
      </c>
      <c r="C9" s="6">
        <v>29</v>
      </c>
      <c r="D9" s="6">
        <v>47</v>
      </c>
      <c r="E9" s="6">
        <v>11</v>
      </c>
      <c r="F9" s="6">
        <v>0</v>
      </c>
      <c r="G9" s="2">
        <f t="shared" si="0"/>
        <v>87</v>
      </c>
      <c r="H9" s="2">
        <f t="shared" si="1"/>
        <v>279</v>
      </c>
      <c r="I9" s="2">
        <f t="shared" si="2"/>
        <v>3.20689655172414</v>
      </c>
      <c r="J9" s="2" t="str">
        <f t="shared" si="3"/>
        <v>Agree</v>
      </c>
    </row>
    <row r="10" ht="28.8" spans="1:10">
      <c r="A10" s="5" t="s">
        <v>17</v>
      </c>
      <c r="B10" s="2" t="s">
        <v>18</v>
      </c>
      <c r="C10" s="6">
        <v>20</v>
      </c>
      <c r="D10" s="6">
        <v>41</v>
      </c>
      <c r="E10" s="6">
        <v>20</v>
      </c>
      <c r="F10" s="6">
        <v>6</v>
      </c>
      <c r="G10" s="2">
        <f t="shared" si="0"/>
        <v>87</v>
      </c>
      <c r="H10" s="2">
        <f t="shared" si="1"/>
        <v>249</v>
      </c>
      <c r="I10" s="2">
        <f t="shared" si="2"/>
        <v>2.86206896551724</v>
      </c>
      <c r="J10" s="2" t="str">
        <f t="shared" si="3"/>
        <v>Agree</v>
      </c>
    </row>
    <row r="11" ht="28.8" spans="1:10">
      <c r="A11" s="7"/>
      <c r="B11" s="2" t="s">
        <v>19</v>
      </c>
      <c r="C11" s="6">
        <v>13</v>
      </c>
      <c r="D11" s="6">
        <v>33</v>
      </c>
      <c r="E11" s="6">
        <v>28</v>
      </c>
      <c r="F11" s="6">
        <v>13</v>
      </c>
      <c r="G11" s="2">
        <f t="shared" si="0"/>
        <v>87</v>
      </c>
      <c r="H11" s="2">
        <f t="shared" si="1"/>
        <v>220</v>
      </c>
      <c r="I11" s="2">
        <f t="shared" si="2"/>
        <v>2.52873563218391</v>
      </c>
      <c r="J11" s="2" t="str">
        <f t="shared" si="3"/>
        <v>Agree</v>
      </c>
    </row>
    <row r="12" ht="28.8" spans="1:10">
      <c r="A12" s="7"/>
      <c r="B12" s="2" t="s">
        <v>20</v>
      </c>
      <c r="C12" s="6">
        <v>24</v>
      </c>
      <c r="D12" s="6">
        <v>47</v>
      </c>
      <c r="E12" s="6">
        <v>14</v>
      </c>
      <c r="F12" s="6">
        <v>2</v>
      </c>
      <c r="G12" s="2">
        <f t="shared" si="0"/>
        <v>87</v>
      </c>
      <c r="H12" s="2">
        <f t="shared" si="1"/>
        <v>267</v>
      </c>
      <c r="I12" s="2">
        <f t="shared" si="2"/>
        <v>3.06896551724138</v>
      </c>
      <c r="J12" s="2" t="str">
        <f t="shared" si="3"/>
        <v>Agree</v>
      </c>
    </row>
    <row r="13" ht="28.8" spans="1:10">
      <c r="A13" s="7"/>
      <c r="B13" s="2" t="s">
        <v>21</v>
      </c>
      <c r="C13" s="6">
        <v>22</v>
      </c>
      <c r="D13" s="6">
        <v>47</v>
      </c>
      <c r="E13" s="6">
        <v>16</v>
      </c>
      <c r="F13" s="6">
        <v>2</v>
      </c>
      <c r="G13" s="2">
        <f t="shared" si="0"/>
        <v>87</v>
      </c>
      <c r="H13" s="2">
        <f t="shared" si="1"/>
        <v>263</v>
      </c>
      <c r="I13" s="2">
        <f t="shared" si="2"/>
        <v>3.02298850574713</v>
      </c>
      <c r="J13" s="2" t="str">
        <f t="shared" si="3"/>
        <v>Agree</v>
      </c>
    </row>
    <row r="14" ht="28.8" spans="1:10">
      <c r="A14" s="8"/>
      <c r="B14" s="2" t="s">
        <v>22</v>
      </c>
      <c r="C14" s="6">
        <v>18</v>
      </c>
      <c r="D14" s="6">
        <v>42</v>
      </c>
      <c r="E14" s="6">
        <v>20</v>
      </c>
      <c r="F14" s="6">
        <v>7</v>
      </c>
      <c r="G14" s="2">
        <f t="shared" si="0"/>
        <v>87</v>
      </c>
      <c r="H14" s="2">
        <f t="shared" si="1"/>
        <v>245</v>
      </c>
      <c r="I14" s="2">
        <f t="shared" si="2"/>
        <v>2.81609195402299</v>
      </c>
      <c r="J14" s="2" t="str">
        <f t="shared" si="3"/>
        <v>Agree</v>
      </c>
    </row>
    <row r="15" spans="1:10">
      <c r="A15" s="5" t="s">
        <v>23</v>
      </c>
      <c r="B15" s="2" t="s">
        <v>24</v>
      </c>
      <c r="C15" s="6">
        <v>19</v>
      </c>
      <c r="D15" s="6">
        <v>39</v>
      </c>
      <c r="E15" s="6">
        <v>24</v>
      </c>
      <c r="F15" s="6">
        <v>4</v>
      </c>
      <c r="G15" s="2">
        <f t="shared" si="0"/>
        <v>86</v>
      </c>
      <c r="H15" s="2">
        <f t="shared" si="1"/>
        <v>245</v>
      </c>
      <c r="I15" s="2">
        <f t="shared" si="2"/>
        <v>2.84883720930233</v>
      </c>
      <c r="J15" s="2" t="str">
        <f t="shared" si="3"/>
        <v>Agree</v>
      </c>
    </row>
    <row r="16" spans="1:10">
      <c r="A16" s="7"/>
      <c r="B16" s="2" t="s">
        <v>25</v>
      </c>
      <c r="C16" s="6">
        <v>18</v>
      </c>
      <c r="D16" s="6">
        <v>53</v>
      </c>
      <c r="E16" s="6">
        <v>11</v>
      </c>
      <c r="F16" s="6">
        <v>5</v>
      </c>
      <c r="G16" s="2">
        <f t="shared" si="0"/>
        <v>87</v>
      </c>
      <c r="H16" s="2">
        <f t="shared" si="1"/>
        <v>258</v>
      </c>
      <c r="I16" s="2">
        <f t="shared" si="2"/>
        <v>2.96551724137931</v>
      </c>
      <c r="J16" s="2" t="str">
        <f t="shared" si="3"/>
        <v>Agree</v>
      </c>
    </row>
    <row r="17" spans="1:10">
      <c r="A17" s="7"/>
      <c r="B17" s="2" t="s">
        <v>26</v>
      </c>
      <c r="C17" s="6">
        <v>25</v>
      </c>
      <c r="D17" s="6">
        <v>47</v>
      </c>
      <c r="E17" s="6">
        <v>12</v>
      </c>
      <c r="F17" s="6">
        <v>3</v>
      </c>
      <c r="G17" s="2">
        <f t="shared" si="0"/>
        <v>87</v>
      </c>
      <c r="H17" s="2">
        <f t="shared" si="1"/>
        <v>268</v>
      </c>
      <c r="I17" s="2">
        <f t="shared" si="2"/>
        <v>3.08045977011494</v>
      </c>
      <c r="J17" s="2" t="str">
        <f t="shared" si="3"/>
        <v>Agree</v>
      </c>
    </row>
    <row r="18" ht="28.8" spans="1:10">
      <c r="A18" s="7"/>
      <c r="B18" s="2" t="s">
        <v>27</v>
      </c>
      <c r="C18" s="6">
        <v>18</v>
      </c>
      <c r="D18" s="6">
        <v>48</v>
      </c>
      <c r="E18" s="6">
        <v>14</v>
      </c>
      <c r="F18" s="6">
        <v>7</v>
      </c>
      <c r="G18" s="2">
        <f t="shared" si="0"/>
        <v>87</v>
      </c>
      <c r="H18" s="2">
        <f t="shared" si="1"/>
        <v>251</v>
      </c>
      <c r="I18" s="2">
        <f t="shared" si="2"/>
        <v>2.88505747126437</v>
      </c>
      <c r="J18" s="2" t="str">
        <f t="shared" si="3"/>
        <v>Agree</v>
      </c>
    </row>
    <row r="19" ht="28.8" spans="1:10">
      <c r="A19" s="8"/>
      <c r="B19" s="2" t="s">
        <v>28</v>
      </c>
      <c r="C19" s="6">
        <v>18</v>
      </c>
      <c r="D19" s="6">
        <v>48</v>
      </c>
      <c r="E19" s="6">
        <v>16</v>
      </c>
      <c r="F19" s="6">
        <v>5</v>
      </c>
      <c r="G19" s="2">
        <f t="shared" si="0"/>
        <v>87</v>
      </c>
      <c r="H19" s="2">
        <f t="shared" si="1"/>
        <v>253</v>
      </c>
      <c r="I19" s="2">
        <f t="shared" si="2"/>
        <v>2.90804597701149</v>
      </c>
      <c r="J19" s="2" t="str">
        <f t="shared" si="3"/>
        <v>Agree</v>
      </c>
    </row>
    <row r="20" ht="28.8" spans="1:10">
      <c r="A20" s="5" t="s">
        <v>29</v>
      </c>
      <c r="B20" s="2" t="s">
        <v>30</v>
      </c>
      <c r="C20" s="6">
        <v>25</v>
      </c>
      <c r="D20" s="6">
        <v>53</v>
      </c>
      <c r="E20" s="6">
        <v>8</v>
      </c>
      <c r="F20" s="6">
        <v>1</v>
      </c>
      <c r="G20" s="2">
        <f t="shared" si="0"/>
        <v>87</v>
      </c>
      <c r="H20" s="2">
        <f t="shared" si="1"/>
        <v>276</v>
      </c>
      <c r="I20" s="2">
        <f t="shared" si="2"/>
        <v>3.17241379310345</v>
      </c>
      <c r="J20" s="2" t="str">
        <f t="shared" si="3"/>
        <v>Agree</v>
      </c>
    </row>
    <row r="21" ht="28.8" spans="1:10">
      <c r="A21" s="7"/>
      <c r="B21" s="2" t="s">
        <v>31</v>
      </c>
      <c r="C21" s="6">
        <v>35</v>
      </c>
      <c r="D21" s="6">
        <v>47</v>
      </c>
      <c r="E21" s="6">
        <v>4</v>
      </c>
      <c r="F21" s="6">
        <v>1</v>
      </c>
      <c r="G21" s="2">
        <f t="shared" si="0"/>
        <v>87</v>
      </c>
      <c r="H21" s="2">
        <f t="shared" si="1"/>
        <v>290</v>
      </c>
      <c r="I21" s="2">
        <f t="shared" si="2"/>
        <v>3.33333333333333</v>
      </c>
      <c r="J21" s="2" t="str">
        <f t="shared" si="3"/>
        <v>Strongly Agree</v>
      </c>
    </row>
    <row r="22" ht="28.8" spans="1:10">
      <c r="A22" s="7"/>
      <c r="B22" s="2" t="s">
        <v>32</v>
      </c>
      <c r="C22" s="6">
        <v>27</v>
      </c>
      <c r="D22" s="6">
        <v>43</v>
      </c>
      <c r="E22" s="6">
        <v>16</v>
      </c>
      <c r="F22" s="6">
        <v>1</v>
      </c>
      <c r="G22" s="2">
        <f t="shared" si="0"/>
        <v>87</v>
      </c>
      <c r="H22" s="2">
        <f t="shared" si="1"/>
        <v>270</v>
      </c>
      <c r="I22" s="2">
        <f t="shared" si="2"/>
        <v>3.10344827586207</v>
      </c>
      <c r="J22" s="2" t="str">
        <f t="shared" si="3"/>
        <v>Agree</v>
      </c>
    </row>
    <row r="23" ht="28.8" spans="1:10">
      <c r="A23" s="7"/>
      <c r="B23" s="2" t="s">
        <v>33</v>
      </c>
      <c r="C23" s="6">
        <v>23</v>
      </c>
      <c r="D23" s="6">
        <v>48</v>
      </c>
      <c r="E23" s="6">
        <v>15</v>
      </c>
      <c r="F23" s="6">
        <v>1</v>
      </c>
      <c r="G23" s="2">
        <f t="shared" si="0"/>
        <v>87</v>
      </c>
      <c r="H23" s="2">
        <f t="shared" si="1"/>
        <v>267</v>
      </c>
      <c r="I23" s="2">
        <f t="shared" si="2"/>
        <v>3.06896551724138</v>
      </c>
      <c r="J23" s="2" t="str">
        <f t="shared" si="3"/>
        <v>Agree</v>
      </c>
    </row>
    <row r="24" ht="28.8" spans="1:10">
      <c r="A24" s="8"/>
      <c r="B24" s="2" t="s">
        <v>34</v>
      </c>
      <c r="C24" s="6">
        <v>30</v>
      </c>
      <c r="D24" s="6">
        <v>43</v>
      </c>
      <c r="E24" s="6">
        <v>10</v>
      </c>
      <c r="F24" s="6">
        <v>4</v>
      </c>
      <c r="G24" s="2">
        <f t="shared" si="0"/>
        <v>87</v>
      </c>
      <c r="H24" s="2">
        <f t="shared" si="1"/>
        <v>273</v>
      </c>
      <c r="I24" s="2">
        <f t="shared" si="2"/>
        <v>3.13793103448276</v>
      </c>
      <c r="J24" s="2" t="str">
        <f t="shared" si="3"/>
        <v>Agree</v>
      </c>
    </row>
    <row r="25" ht="28.8" spans="1:10">
      <c r="A25" s="5" t="s">
        <v>35</v>
      </c>
      <c r="B25" s="2" t="s">
        <v>36</v>
      </c>
      <c r="C25" s="6">
        <v>25</v>
      </c>
      <c r="D25" s="6">
        <v>42</v>
      </c>
      <c r="E25" s="6">
        <v>19</v>
      </c>
      <c r="F25" s="6">
        <v>1</v>
      </c>
      <c r="G25" s="2">
        <f t="shared" si="0"/>
        <v>87</v>
      </c>
      <c r="H25" s="2">
        <f t="shared" si="1"/>
        <v>265</v>
      </c>
      <c r="I25" s="2">
        <f t="shared" si="2"/>
        <v>3.04597701149425</v>
      </c>
      <c r="J25" s="2" t="str">
        <f t="shared" si="3"/>
        <v>Agree</v>
      </c>
    </row>
    <row r="26" ht="28.8" spans="1:10">
      <c r="A26" s="7"/>
      <c r="B26" s="2" t="s">
        <v>37</v>
      </c>
      <c r="C26" s="6">
        <v>25</v>
      </c>
      <c r="D26" s="6">
        <v>45</v>
      </c>
      <c r="E26" s="6">
        <v>14</v>
      </c>
      <c r="F26" s="6">
        <v>3</v>
      </c>
      <c r="G26" s="2">
        <f t="shared" si="0"/>
        <v>87</v>
      </c>
      <c r="H26" s="2">
        <f t="shared" si="1"/>
        <v>266</v>
      </c>
      <c r="I26" s="2">
        <f t="shared" si="2"/>
        <v>3.05747126436782</v>
      </c>
      <c r="J26" s="2" t="str">
        <f t="shared" si="3"/>
        <v>Agree</v>
      </c>
    </row>
    <row r="27" ht="28.8" spans="1:10">
      <c r="A27" s="7"/>
      <c r="B27" s="2" t="s">
        <v>38</v>
      </c>
      <c r="C27" s="6">
        <v>13</v>
      </c>
      <c r="D27" s="6">
        <v>48</v>
      </c>
      <c r="E27" s="6">
        <v>23</v>
      </c>
      <c r="F27" s="6">
        <v>3</v>
      </c>
      <c r="G27" s="2">
        <f t="shared" si="0"/>
        <v>87</v>
      </c>
      <c r="H27" s="2">
        <f t="shared" si="1"/>
        <v>245</v>
      </c>
      <c r="I27" s="2">
        <f t="shared" si="2"/>
        <v>2.81609195402299</v>
      </c>
      <c r="J27" s="2" t="str">
        <f t="shared" si="3"/>
        <v>Agree</v>
      </c>
    </row>
    <row r="28" ht="28.8" spans="1:10">
      <c r="A28" s="7"/>
      <c r="B28" s="2" t="s">
        <v>39</v>
      </c>
      <c r="C28" s="6">
        <v>17</v>
      </c>
      <c r="D28" s="6">
        <v>56</v>
      </c>
      <c r="E28" s="6">
        <v>13</v>
      </c>
      <c r="F28" s="6">
        <v>1</v>
      </c>
      <c r="G28" s="2">
        <f t="shared" si="0"/>
        <v>87</v>
      </c>
      <c r="H28" s="2">
        <f t="shared" si="1"/>
        <v>263</v>
      </c>
      <c r="I28" s="2">
        <f t="shared" si="2"/>
        <v>3.02298850574713</v>
      </c>
      <c r="J28" s="2" t="str">
        <f t="shared" si="3"/>
        <v>Agree</v>
      </c>
    </row>
    <row r="29" ht="28.8" spans="1:10">
      <c r="A29" s="8"/>
      <c r="B29" s="2" t="s">
        <v>40</v>
      </c>
      <c r="C29" s="6">
        <v>17</v>
      </c>
      <c r="D29" s="6">
        <v>41</v>
      </c>
      <c r="E29" s="6">
        <v>23</v>
      </c>
      <c r="F29" s="6">
        <v>6</v>
      </c>
      <c r="G29" s="2">
        <f t="shared" si="0"/>
        <v>87</v>
      </c>
      <c r="H29" s="2">
        <f t="shared" si="1"/>
        <v>243</v>
      </c>
      <c r="I29" s="2">
        <f t="shared" si="2"/>
        <v>2.79310344827586</v>
      </c>
      <c r="J29" s="2" t="str">
        <f t="shared" si="3"/>
        <v>Agree</v>
      </c>
    </row>
  </sheetData>
  <mergeCells count="7">
    <mergeCell ref="A1:J1"/>
    <mergeCell ref="A2:J2"/>
    <mergeCell ref="A5:A9"/>
    <mergeCell ref="A10:A14"/>
    <mergeCell ref="A15:A19"/>
    <mergeCell ref="A20:A24"/>
    <mergeCell ref="A25:A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0" sqref="A20"/>
    </sheetView>
  </sheetViews>
  <sheetFormatPr defaultColWidth="9" defaultRowHeight="14.4"/>
  <cols>
    <col min="1" max="1" width="110" customWidth="1"/>
  </cols>
  <sheetData>
    <row r="1" ht="18" spans="1:1">
      <c r="A1" s="1" t="s">
        <v>41</v>
      </c>
    </row>
    <row r="2" spans="1:1">
      <c r="A2" s="2"/>
    </row>
    <row r="3" spans="1:1">
      <c r="A3" s="2" t="s">
        <v>42</v>
      </c>
    </row>
    <row r="4" spans="1:1">
      <c r="A4" s="2" t="s">
        <v>43</v>
      </c>
    </row>
    <row r="5" spans="1:1">
      <c r="A5" s="2" t="s">
        <v>44</v>
      </c>
    </row>
    <row r="6" spans="1:1">
      <c r="A6" s="2" t="s">
        <v>45</v>
      </c>
    </row>
    <row r="7" spans="1:1">
      <c r="A7" s="2" t="s">
        <v>46</v>
      </c>
    </row>
    <row r="8" spans="1:1">
      <c r="A8" s="2" t="s">
        <v>47</v>
      </c>
    </row>
    <row r="9" spans="1:1">
      <c r="A9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Tally Summary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slmn-</cp:lastModifiedBy>
  <dcterms:created xsi:type="dcterms:W3CDTF">2026-08-28T14:44:00Z</dcterms:created>
  <dcterms:modified xsi:type="dcterms:W3CDTF">2026-09-03T12:46:17Z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CDB3690903D644EBBE5D495C6B065F6C_12</vt:lpwstr>
  </property>
</Properties>
</file>